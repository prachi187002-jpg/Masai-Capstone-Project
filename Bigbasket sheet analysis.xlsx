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" sheetId="2" r:id="rId6"/>
    <sheet state="visible" name="Category Targets" sheetId="3" r:id="rId7"/>
    <sheet state="visible" name="Category 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<sst xmlns="http://schemas.openxmlformats.org/spreadsheetml/2006/main" count="79" uniqueCount="23">
  <si>
    <t xml:space="preserve">Category </t>
  </si>
  <si>
    <t>category</t>
  </si>
  <si>
    <t>Revenue and Total order per category</t>
  </si>
  <si>
    <t>total_revenue</t>
  </si>
  <si>
    <t>target_revenue_inr</t>
  </si>
  <si>
    <t>variance</t>
  </si>
  <si>
    <t xml:space="preserve">percentage_variance </t>
  </si>
  <si>
    <t>Tag</t>
  </si>
  <si>
    <t>Matches Part 1 SQL total?</t>
  </si>
  <si>
    <t>month</t>
  </si>
  <si>
    <t>order_count</t>
  </si>
  <si>
    <t>avg_revenue</t>
  </si>
  <si>
    <t>Bakery</t>
  </si>
  <si>
    <t>Fruits &amp; Vegetables</t>
  </si>
  <si>
    <t>Dairy &amp; Eggs</t>
  </si>
  <si>
    <t>Snacks &amp; Beverages</t>
  </si>
  <si>
    <t>Personal Care</t>
  </si>
  <si>
    <t>Household Essentials</t>
  </si>
  <si>
    <t>Category</t>
  </si>
  <si>
    <t>Total Revenue</t>
  </si>
  <si>
    <t>Total orders</t>
  </si>
  <si>
    <t>Yes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</si>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</sst>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6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2" fillId="3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164" xfId="0" applyAlignment="1" applyBorder="1" applyFont="1" applyNumberFormat="1">
      <alignment horizontal="center" readingOrder="0"/>
    </xf>
    <xf borderId="3" fillId="3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3" fillId="3" fontId="1" numFmtId="0" xfId="0" applyAlignment="1" applyBorder="1" applyFill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1"/>
        <n v="239.62"/>
        <n v="246.33"/>
        <n v="166.79"/>
        <n v="226.11"/>
        <n v="241.88"/>
        <n v="210.87"/>
        <n v="183.33"/>
        <n v="248.5"/>
        <n v="166.18"/>
        <n v="107.5"/>
        <n v="160.77"/>
        <n v="160.0"/>
        <n v="100.0"/>
        <n v="155.83"/>
        <n v="117.78"/>
        <n v="209.9"/>
        <n v="319.56"/>
        <n v="235.63"/>
        <n v="323.0"/>
        <n v="217.31"/>
        <n v="304.17"/>
        <n v="300.67"/>
        <n v="272.13"/>
        <n v="255.18"/>
        <n v="218.89"/>
        <n v="234.23"/>
        <n v="213.46"/>
        <n v="129.0"/>
        <n v="120.91"/>
        <n v="111.33"/>
        <n v="156.84"/>
        <n v="128.08"/>
        <n v="130.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D6:F13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Total Revenue" fld="3" baseField="0"/>
    <dataField name="Total order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4.0"/>
    <col customWidth="1" min="3" max="3" width="13.75"/>
    <col customWidth="1" min="4" max="4" width="15.13"/>
    <col customWidth="1" min="5" max="5" width="15.0"/>
  </cols>
  <sheetData>
    <row r="1" ht="19.5" customHeight="1">
      <c r="A1" s="4" t="s">
        <v>1</v>
      </c>
      <c r="B1" s="4" t="s">
        <v>9</v>
      </c>
      <c r="C1" s="4" t="s">
        <v>10</v>
      </c>
      <c r="D1" s="4" t="s">
        <v>3</v>
      </c>
      <c r="E1" s="4" t="s">
        <v>11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 t="s">
        <v>12</v>
      </c>
      <c r="B2" s="11">
        <v>46023.0</v>
      </c>
      <c r="C2" s="10">
        <v>6.0</v>
      </c>
      <c r="D2" s="10">
        <v>735.0</v>
      </c>
      <c r="E2" s="10">
        <v>122.5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3" t="s">
        <v>12</v>
      </c>
      <c r="B3" s="15">
        <v>46054.0</v>
      </c>
      <c r="C3" s="13">
        <v>8.0</v>
      </c>
      <c r="D3" s="13">
        <v>2440.0</v>
      </c>
      <c r="E3" s="13">
        <v>305.0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3" t="s">
        <v>12</v>
      </c>
      <c r="B4" s="15">
        <v>46082.0</v>
      </c>
      <c r="C4" s="13">
        <v>11.0</v>
      </c>
      <c r="D4" s="13">
        <v>3090.0</v>
      </c>
      <c r="E4" s="13">
        <v>280.91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3" t="s">
        <v>12</v>
      </c>
      <c r="B5" s="15">
        <v>46113.0</v>
      </c>
      <c r="C5" s="13">
        <v>13.0</v>
      </c>
      <c r="D5" s="13">
        <v>3115.0</v>
      </c>
      <c r="E5" s="13">
        <v>239.62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3" t="s">
        <v>12</v>
      </c>
      <c r="B6" s="15">
        <v>46143.0</v>
      </c>
      <c r="C6" s="13">
        <v>15.0</v>
      </c>
      <c r="D6" s="13">
        <v>3695.0</v>
      </c>
      <c r="E6" s="13">
        <v>246.33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3" t="s">
        <v>12</v>
      </c>
      <c r="B7" s="15">
        <v>46174.0</v>
      </c>
      <c r="C7" s="13">
        <v>14.0</v>
      </c>
      <c r="D7" s="13">
        <v>2335.0</v>
      </c>
      <c r="E7" s="13">
        <v>166.79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3" t="s">
        <v>14</v>
      </c>
      <c r="B8" s="15">
        <v>46023.0</v>
      </c>
      <c r="C8" s="13">
        <v>9.0</v>
      </c>
      <c r="D8" s="13">
        <v>2035.0</v>
      </c>
      <c r="E8" s="13">
        <v>226.11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3" t="s">
        <v>14</v>
      </c>
      <c r="B9" s="15">
        <v>46054.0</v>
      </c>
      <c r="C9" s="13">
        <v>8.0</v>
      </c>
      <c r="D9" s="13">
        <v>1935.0</v>
      </c>
      <c r="E9" s="13">
        <v>241.88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 t="s">
        <v>14</v>
      </c>
      <c r="B10" s="15">
        <v>46082.0</v>
      </c>
      <c r="C10" s="13">
        <v>15.0</v>
      </c>
      <c r="D10" s="13">
        <v>3163.0</v>
      </c>
      <c r="E10" s="13">
        <v>210.87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14</v>
      </c>
      <c r="B11" s="15">
        <v>46113.0</v>
      </c>
      <c r="C11" s="13">
        <v>9.0</v>
      </c>
      <c r="D11" s="13">
        <v>1650.0</v>
      </c>
      <c r="E11" s="13">
        <v>183.33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14</v>
      </c>
      <c r="B12" s="15">
        <v>46143.0</v>
      </c>
      <c r="C12" s="13">
        <v>14.0</v>
      </c>
      <c r="D12" s="13">
        <v>3479.0</v>
      </c>
      <c r="E12" s="13">
        <v>248.5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14</v>
      </c>
      <c r="B13" s="15">
        <v>46174.0</v>
      </c>
      <c r="C13" s="13">
        <v>11.0</v>
      </c>
      <c r="D13" s="13">
        <v>1828.0</v>
      </c>
      <c r="E13" s="13">
        <v>166.18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13</v>
      </c>
      <c r="B14" s="15">
        <v>46023.0</v>
      </c>
      <c r="C14" s="13">
        <v>12.0</v>
      </c>
      <c r="D14" s="13">
        <v>1290.0</v>
      </c>
      <c r="E14" s="13">
        <v>107.5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13</v>
      </c>
      <c r="B15" s="15">
        <v>46054.0</v>
      </c>
      <c r="C15" s="13">
        <v>13.0</v>
      </c>
      <c r="D15" s="13">
        <v>2090.0</v>
      </c>
      <c r="E15" s="13">
        <v>160.77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13</v>
      </c>
      <c r="B16" s="15">
        <v>46082.0</v>
      </c>
      <c r="C16" s="13">
        <v>13.0</v>
      </c>
      <c r="D16" s="13">
        <v>2080.0</v>
      </c>
      <c r="E16" s="13">
        <v>160.0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3" t="s">
        <v>13</v>
      </c>
      <c r="B17" s="15">
        <v>46113.0</v>
      </c>
      <c r="C17" s="13">
        <v>14.0</v>
      </c>
      <c r="D17" s="13">
        <v>1400.0</v>
      </c>
      <c r="E17" s="13">
        <v>100.0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3" t="s">
        <v>13</v>
      </c>
      <c r="B18" s="15">
        <v>46143.0</v>
      </c>
      <c r="C18" s="13">
        <v>12.0</v>
      </c>
      <c r="D18" s="13">
        <v>1870.0</v>
      </c>
      <c r="E18" s="13">
        <v>155.83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" t="s">
        <v>13</v>
      </c>
      <c r="B19" s="15">
        <v>46174.0</v>
      </c>
      <c r="C19" s="13">
        <v>9.0</v>
      </c>
      <c r="D19" s="13">
        <v>1060.0</v>
      </c>
      <c r="E19" s="13">
        <v>117.78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3" t="s">
        <v>17</v>
      </c>
      <c r="B20" s="15">
        <v>46023.0</v>
      </c>
      <c r="C20" s="13">
        <v>10.0</v>
      </c>
      <c r="D20" s="13">
        <v>2099.0</v>
      </c>
      <c r="E20" s="13">
        <v>209.9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3" t="s">
        <v>17</v>
      </c>
      <c r="B21" s="15">
        <v>46054.0</v>
      </c>
      <c r="C21" s="13">
        <v>16.0</v>
      </c>
      <c r="D21" s="13">
        <v>5113.0</v>
      </c>
      <c r="E21" s="13">
        <v>319.56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3" t="s">
        <v>17</v>
      </c>
      <c r="B22" s="15">
        <v>46082.0</v>
      </c>
      <c r="C22" s="13">
        <v>8.0</v>
      </c>
      <c r="D22" s="13">
        <v>1885.0</v>
      </c>
      <c r="E22" s="13">
        <v>235.63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3" t="s">
        <v>17</v>
      </c>
      <c r="B23" s="15">
        <v>46113.0</v>
      </c>
      <c r="C23" s="13">
        <v>17.0</v>
      </c>
      <c r="D23" s="13">
        <v>5491.0</v>
      </c>
      <c r="E23" s="13">
        <v>323.0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3" t="s">
        <v>17</v>
      </c>
      <c r="B24" s="15">
        <v>46143.0</v>
      </c>
      <c r="C24" s="13">
        <v>16.0</v>
      </c>
      <c r="D24" s="13">
        <v>3477.0</v>
      </c>
      <c r="E24" s="13">
        <v>217.31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" t="s">
        <v>17</v>
      </c>
      <c r="B25" s="15">
        <v>46174.0</v>
      </c>
      <c r="C25" s="13">
        <v>12.0</v>
      </c>
      <c r="D25" s="13">
        <v>3650.0</v>
      </c>
      <c r="E25" s="13">
        <v>304.17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3" t="s">
        <v>16</v>
      </c>
      <c r="B26" s="15">
        <v>46023.0</v>
      </c>
      <c r="C26" s="13">
        <v>12.0</v>
      </c>
      <c r="D26" s="13">
        <v>3608.0</v>
      </c>
      <c r="E26" s="13">
        <v>300.67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3" t="s">
        <v>16</v>
      </c>
      <c r="B27" s="15">
        <v>46054.0</v>
      </c>
      <c r="C27" s="13">
        <v>8.0</v>
      </c>
      <c r="D27" s="13">
        <v>2177.0</v>
      </c>
      <c r="E27" s="13">
        <v>272.13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3" t="s">
        <v>16</v>
      </c>
      <c r="B28" s="15">
        <v>46082.0</v>
      </c>
      <c r="C28" s="13">
        <v>11.0</v>
      </c>
      <c r="D28" s="13">
        <v>2807.0</v>
      </c>
      <c r="E28" s="13">
        <v>255.18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3" t="s">
        <v>16</v>
      </c>
      <c r="B29" s="15">
        <v>46113.0</v>
      </c>
      <c r="C29" s="13">
        <v>9.0</v>
      </c>
      <c r="D29" s="13">
        <v>1970.0</v>
      </c>
      <c r="E29" s="13">
        <v>218.89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3" t="s">
        <v>16</v>
      </c>
      <c r="B30" s="15">
        <v>46143.0</v>
      </c>
      <c r="C30" s="13">
        <v>13.0</v>
      </c>
      <c r="D30" s="13">
        <v>3045.0</v>
      </c>
      <c r="E30" s="13">
        <v>234.23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3" t="s">
        <v>16</v>
      </c>
      <c r="B31" s="15">
        <v>46174.0</v>
      </c>
      <c r="C31" s="13">
        <v>13.0</v>
      </c>
      <c r="D31" s="13">
        <v>2775.0</v>
      </c>
      <c r="E31" s="13">
        <v>213.46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3" t="s">
        <v>15</v>
      </c>
      <c r="B32" s="15">
        <v>46023.0</v>
      </c>
      <c r="C32" s="13">
        <v>10.0</v>
      </c>
      <c r="D32" s="13">
        <v>1290.0</v>
      </c>
      <c r="E32" s="13">
        <v>129.0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3" t="s">
        <v>15</v>
      </c>
      <c r="B33" s="15">
        <v>46054.0</v>
      </c>
      <c r="C33" s="13">
        <v>11.0</v>
      </c>
      <c r="D33" s="13">
        <v>1330.0</v>
      </c>
      <c r="E33" s="13">
        <v>120.91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3" t="s">
        <v>15</v>
      </c>
      <c r="B34" s="15">
        <v>46082.0</v>
      </c>
      <c r="C34" s="13">
        <v>15.0</v>
      </c>
      <c r="D34" s="13">
        <v>1670.0</v>
      </c>
      <c r="E34" s="13">
        <v>111.33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3" t="s">
        <v>15</v>
      </c>
      <c r="B35" s="15">
        <v>46113.0</v>
      </c>
      <c r="C35" s="13">
        <v>19.0</v>
      </c>
      <c r="D35" s="13">
        <v>2980.0</v>
      </c>
      <c r="E35" s="13">
        <v>156.84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3" t="s">
        <v>15</v>
      </c>
      <c r="B36" s="15">
        <v>46143.0</v>
      </c>
      <c r="C36" s="13">
        <v>13.0</v>
      </c>
      <c r="D36" s="13">
        <v>1665.0</v>
      </c>
      <c r="E36" s="13">
        <v>128.08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3" t="s">
        <v>15</v>
      </c>
      <c r="B37" s="15">
        <v>46174.0</v>
      </c>
      <c r="C37" s="13">
        <v>15.0</v>
      </c>
      <c r="D37" s="13">
        <v>1960.0</v>
      </c>
      <c r="E37" s="13">
        <v>130.67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3.63"/>
    <col customWidth="1" min="4" max="4" width="17.0"/>
    <col customWidth="1" min="5" max="5" width="15.13"/>
    <col customWidth="1" min="6" max="6" width="13.88"/>
    <col customWidth="1" min="7" max="26" width="1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3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3:G3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9.38"/>
  </cols>
  <sheetData>
    <row r="1">
      <c r="A1" s="6" t="s">
        <v>1</v>
      </c>
      <c r="B1" s="6" t="s">
        <v>4</v>
      </c>
    </row>
    <row r="2">
      <c r="A2" s="9" t="s">
        <v>13</v>
      </c>
      <c r="B2" s="9">
        <v>12000.0</v>
      </c>
    </row>
    <row r="3">
      <c r="A3" s="12" t="s">
        <v>14</v>
      </c>
      <c r="B3" s="12">
        <v>16500.0</v>
      </c>
    </row>
    <row r="4">
      <c r="A4" s="12" t="s">
        <v>15</v>
      </c>
      <c r="B4" s="12">
        <v>13000.0</v>
      </c>
    </row>
    <row r="5">
      <c r="A5" s="12" t="s">
        <v>16</v>
      </c>
      <c r="B5" s="12">
        <v>15500.0</v>
      </c>
    </row>
    <row r="6">
      <c r="A6" s="12" t="s">
        <v>17</v>
      </c>
      <c r="B6" s="12">
        <v>17000.0</v>
      </c>
    </row>
    <row r="7">
      <c r="A7" s="12" t="s">
        <v>12</v>
      </c>
      <c r="B7" s="12">
        <v>12000.0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3.75"/>
    <col customWidth="1" min="3" max="3" width="18.13"/>
    <col customWidth="1" min="5" max="5" width="20.0"/>
    <col customWidth="1" min="6" max="6" width="19.38"/>
    <col customWidth="1" min="7" max="7" width="25.13"/>
  </cols>
  <sheetData>
    <row r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12</v>
      </c>
      <c r="B2" s="7">
        <f>'Pivot Table'!E7</f>
        <v>15410</v>
      </c>
      <c r="C2" s="9">
        <f t="array" ref="C2">_xlfn.xlookup(A2:A7,'Category Targets'!A2:A7,'Category Targets'!B2:B7,"Not Found")</f>
        <v>12000</v>
      </c>
      <c r="D2" s="7">
        <f t="shared" ref="D2:D7" si="1">abs(C2-B2)</f>
        <v>3410</v>
      </c>
      <c r="E2" s="9">
        <f t="shared" ref="E2:E7" si="2">(D2)/C2 *100</f>
        <v>28.41666667</v>
      </c>
      <c r="F2" s="7" t="str">
        <f t="shared" ref="F2:F7" si="3">If(B2&gt;C2,"Above Target", (if(E2&lt;=15,"Below Target - Watch", "Below Target - Critical")))</f>
        <v>Above Target</v>
      </c>
      <c r="G2" s="9" t="s">
        <v>21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8" t="s">
        <v>14</v>
      </c>
      <c r="B3" s="18">
        <f>'Pivot Table'!E8</f>
        <v>14090</v>
      </c>
      <c r="C3" s="18">
        <f t="array" ref="C3">_xlfn.xlookup(A2:A7,'Category Targets'!A2:A7,'Category Targets'!B2:B7,"Not Found")</f>
        <v>16500</v>
      </c>
      <c r="D3" s="18">
        <f t="shared" si="1"/>
        <v>2410</v>
      </c>
      <c r="E3" s="12">
        <f t="shared" si="2"/>
        <v>14.60606061</v>
      </c>
      <c r="F3" s="18" t="str">
        <f t="shared" si="3"/>
        <v>Below Target - Watch</v>
      </c>
      <c r="G3" s="12" t="s">
        <v>21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8" t="s">
        <v>13</v>
      </c>
      <c r="B4" s="18">
        <f>'Pivot Table'!E9</f>
        <v>9790</v>
      </c>
      <c r="C4" s="12">
        <f t="array" ref="C4">_xlfn.xlookup(A2:A7,'Category Targets'!A2:A7,'Category Targets'!B2:B7,"Not Found")</f>
        <v>12000</v>
      </c>
      <c r="D4" s="18">
        <f t="shared" si="1"/>
        <v>2210</v>
      </c>
      <c r="E4" s="12">
        <f t="shared" si="2"/>
        <v>18.41666667</v>
      </c>
      <c r="F4" s="18" t="str">
        <f t="shared" si="3"/>
        <v>Below Target - Critical</v>
      </c>
      <c r="G4" s="12" t="s">
        <v>21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8" t="s">
        <v>17</v>
      </c>
      <c r="B5" s="18">
        <f>'Pivot Table'!E10</f>
        <v>21715</v>
      </c>
      <c r="C5" s="18">
        <f t="array" ref="C5">_xlfn.xlookup(A5:A10,'Category Targets'!A5:A10,'Category Targets'!B5:B10,"Not Found")</f>
        <v>17000</v>
      </c>
      <c r="D5" s="18">
        <f t="shared" si="1"/>
        <v>4715</v>
      </c>
      <c r="E5" s="12">
        <f t="shared" si="2"/>
        <v>27.73529412</v>
      </c>
      <c r="F5" s="18" t="str">
        <f t="shared" si="3"/>
        <v>Above Target</v>
      </c>
      <c r="G5" s="12" t="s">
        <v>21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8" t="s">
        <v>16</v>
      </c>
      <c r="B6" s="18">
        <f>'Pivot Table'!E11</f>
        <v>16382</v>
      </c>
      <c r="C6" s="12">
        <f t="array" ref="C6">_xlfn.xlookup(A2:A7,'Category Targets'!A2:A7,'Category Targets'!B2:B7,"Not Found")</f>
        <v>15500</v>
      </c>
      <c r="D6" s="18">
        <f t="shared" si="1"/>
        <v>882</v>
      </c>
      <c r="E6" s="12">
        <f t="shared" si="2"/>
        <v>5.690322581</v>
      </c>
      <c r="F6" s="18" t="str">
        <f t="shared" si="3"/>
        <v>Above Target</v>
      </c>
      <c r="G6" s="12" t="s">
        <v>21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" t="s">
        <v>15</v>
      </c>
      <c r="B7" s="18">
        <f>'Pivot Table'!E12</f>
        <v>10895</v>
      </c>
      <c r="C7" s="12">
        <f t="array" ref="C7">_xlfn.xlookup(A2:A7,'Category Targets'!A2:A7,'Category Targets'!B2:B7,"Not Found")</f>
        <v>13000</v>
      </c>
      <c r="D7" s="18">
        <f t="shared" si="1"/>
        <v>2105</v>
      </c>
      <c r="E7" s="12">
        <f t="shared" si="2"/>
        <v>16.19230769</v>
      </c>
      <c r="F7" s="18" t="str">
        <f t="shared" si="3"/>
        <v>Below Target - Critical</v>
      </c>
      <c r="G7" s="12" t="s">
        <v>21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F2:F7">
    <cfRule type="cellIs" dxfId="0" priority="1" operator="equal">
      <formula>"Above Target"</formula>
    </cfRule>
  </conditionalFormatting>
  <conditionalFormatting sqref="F2:F7">
    <cfRule type="cellIs" dxfId="1" priority="2" operator="equal">
      <formula>"Below Target - Watch"</formula>
    </cfRule>
  </conditionalFormatting>
  <conditionalFormatting sqref="F2:F7">
    <cfRule type="cellIs" dxfId="2" priority="3" operator="equal">
      <formula>"Below Target - Critical"</formula>
    </cfRule>
  </conditionalFormatting>
  <drawing r:id="rId1"/>
</worksheet>
</file>